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.안내" sheetId="1" state="visible" r:id="rId1"/>
    <sheet xmlns:r="http://schemas.openxmlformats.org/officeDocument/2006/relationships" name="1.입력값" sheetId="2" state="visible" r:id="rId2"/>
    <sheet xmlns:r="http://schemas.openxmlformats.org/officeDocument/2006/relationships" name="2.단위마진" sheetId="3" state="visible" r:id="rId3"/>
    <sheet xmlns:r="http://schemas.openxmlformats.org/officeDocument/2006/relationships" name="3.할인시나리오" sheetId="4" state="visible" r:id="rId4"/>
    <sheet xmlns:r="http://schemas.openxmlformats.org/officeDocument/2006/relationships" name="4.손익분기" sheetId="5" state="visible" r:id="rId5"/>
    <sheet xmlns:r="http://schemas.openxmlformats.org/officeDocument/2006/relationships" name="5.단체마진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"/>
    <numFmt numFmtId="166" formatCode="#,##0\건"/>
    <numFmt numFmtId="167" formatCode="#,##0;(#,##0);-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Noto Sans CJK SC"/>
      <family val="2"/>
      <b val="1"/>
      <sz val="14"/>
    </font>
    <font>
      <name val="Arial"/>
      <charset val="1"/>
      <family val="0"/>
      <i val="1"/>
      <color rgb="FF6B6460"/>
      <sz val="9"/>
    </font>
    <font>
      <name val="Noto Sans CJK SC"/>
      <family val="2"/>
      <i val="1"/>
      <color rgb="FF6B6460"/>
      <sz val="9"/>
    </font>
    <font>
      <name val="Noto Sans CJK SC"/>
      <charset val="1"/>
      <family val="2"/>
      <b val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sz val="11"/>
    </font>
    <font>
      <name val="Noto Sans CJK SC"/>
      <family val="2"/>
      <b val="1"/>
      <sz val="11"/>
    </font>
    <font>
      <name val="Noto Sans CJK SC"/>
      <charset val="1"/>
      <family val="2"/>
      <i val="1"/>
      <color rgb="FF6B6460"/>
      <sz val="9"/>
    </font>
    <font>
      <name val="Noto Sans CJK SC"/>
      <charset val="1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color rgb="FF000000"/>
      <sz val="11"/>
    </font>
    <font>
      <name val="Noto Sans CJK SC"/>
      <family val="2"/>
      <color rgb="FF000000"/>
      <sz val="11"/>
    </font>
    <font>
      <name val="Arial"/>
      <charset val="1"/>
      <family val="0"/>
      <color rgb="FF0000FF"/>
      <sz val="11"/>
    </font>
    <font>
      <name val="Noto Sans CJK SC"/>
      <charset val="1"/>
      <family val="2"/>
      <color rgb="FF000000"/>
      <sz val="11"/>
    </font>
    <font>
      <name val="Arial"/>
      <charset val="1"/>
      <family val="0"/>
      <color rgb="FF008000"/>
      <sz val="11"/>
    </font>
    <font>
      <name val="Arial"/>
      <b val="1"/>
    </font>
    <font>
      <name val="Arial"/>
      <i val="1"/>
      <color rgb="006B6460"/>
      <sz val="9"/>
    </font>
    <font>
      <name val="Arial"/>
      <b val="1"/>
      <color rgb="00FFFFFF"/>
    </font>
    <font>
      <name val="Arial"/>
      <color rgb="00000000"/>
    </font>
    <font>
      <name val="Arial"/>
      <color rgb="00008000"/>
    </font>
  </fonts>
  <fills count="8">
    <fill>
      <patternFill/>
    </fill>
    <fill>
      <patternFill patternType="gray125"/>
    </fill>
    <fill>
      <patternFill patternType="solid">
        <fgColor rgb="FF1A1416"/>
        <bgColor rgb="FF000000"/>
      </patternFill>
    </fill>
    <fill>
      <patternFill patternType="solid">
        <fgColor rgb="FFFBF9F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DEAE7"/>
        <bgColor rgb="FFFBF9F7"/>
      </patternFill>
    </fill>
    <fill>
      <patternFill patternType="solid">
        <fgColor rgb="FFF0392B"/>
        <bgColor rgb="FFFF0000"/>
      </patternFill>
    </fill>
    <fill>
      <patternFill patternType="solid">
        <fgColor rgb="001A1416"/>
      </patternFill>
    </fill>
  </fills>
  <borders count="3">
    <border>
      <left/>
      <right/>
      <top/>
      <bottom/>
      <diagonal/>
    </border>
    <border>
      <left style="thin">
        <color rgb="FFD0CCC8"/>
      </left>
      <right style="thin">
        <color rgb="FFD0CCC8"/>
      </right>
      <top style="thin">
        <color rgb="FFD0CCC8"/>
      </top>
      <bottom style="thin">
        <color rgb="FFD0CCC8"/>
      </bottom>
      <diagonal/>
    </border>
    <border>
      <left style="thin">
        <color rgb="00D0CCC8"/>
      </left>
      <right style="thin">
        <color rgb="00D0CCC8"/>
      </right>
      <top style="thin">
        <color rgb="00D0CCC8"/>
      </top>
      <bottom style="thin">
        <color rgb="00D0CCC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164" fontId="19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5" fontId="19" fillId="3" borderId="1" applyAlignment="1" pivotButton="0" quotePrefix="0" xfId="0">
      <alignment horizontal="general" vertical="bottom"/>
    </xf>
    <xf numFmtId="165" fontId="19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164" fontId="19" fillId="3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19" fillId="3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bottom"/>
    </xf>
    <xf numFmtId="0" fontId="15" fillId="2" borderId="1" applyAlignment="1" pivotButton="0" quotePrefix="0" xfId="0">
      <alignment horizontal="center" vertical="bottom"/>
    </xf>
    <xf numFmtId="164" fontId="21" fillId="0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164" fontId="17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164" fontId="15" fillId="6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166" fontId="17" fillId="5" borderId="1" applyAlignment="1" pivotButton="0" quotePrefix="0" xfId="0">
      <alignment horizontal="general" vertical="bottom"/>
    </xf>
    <xf numFmtId="3" fontId="19" fillId="4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21" fillId="0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164" fontId="15" fillId="6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164" fontId="19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5" fontId="19" fillId="3" borderId="1" applyAlignment="1" pivotButton="0" quotePrefix="0" xfId="0">
      <alignment horizontal="general" vertical="bottom"/>
    </xf>
    <xf numFmtId="165" fontId="19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bottom"/>
    </xf>
    <xf numFmtId="0" fontId="15" fillId="2" borderId="1" applyAlignment="1" pivotButton="0" quotePrefix="0" xfId="0">
      <alignment horizontal="center" vertical="bottom"/>
    </xf>
    <xf numFmtId="164" fontId="21" fillId="0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164" fontId="17" fillId="5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164" fontId="15" fillId="6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general" vertical="bottom"/>
    </xf>
    <xf numFmtId="0" fontId="15" fillId="6" borderId="1" applyAlignment="1" pivotButton="0" quotePrefix="0" xfId="0">
      <alignment horizontal="general" vertical="bottom"/>
    </xf>
    <xf numFmtId="0" fontId="22" fillId="0" borderId="2" pivotButton="0" quotePrefix="0" xfId="0"/>
    <xf numFmtId="0" fontId="23" fillId="0" borderId="0" pivotButton="0" quotePrefix="0" xfId="0"/>
    <xf numFmtId="0" fontId="24" fillId="7" borderId="2" applyAlignment="1" pivotButton="0" quotePrefix="0" xfId="0">
      <alignment horizontal="center"/>
    </xf>
    <xf numFmtId="0" fontId="25" fillId="0" borderId="2" pivotButton="0" quotePrefix="0" xfId="0"/>
    <xf numFmtId="167" fontId="26" fillId="0" borderId="2" pivotButton="0" quotePrefix="0" xfId="0"/>
    <xf numFmtId="167" fontId="25" fillId="0" borderId="2" pivotButton="0" quotePrefix="0" xfId="0"/>
    <xf numFmtId="165" fontId="25" fillId="0" borderId="2" pivotButton="0" quotePrefix="0" xfId="0"/>
    <xf numFmtId="0" fontId="0" fillId="0" borderId="2" pivotButton="0" quotePrefix="0" xfId="0"/>
    <xf numFmtId="166" fontId="17" fillId="5" borderId="1" applyAlignment="1" pivotButton="0" quotePrefix="0" xfId="0">
      <alignment horizontal="general" vertical="bottom"/>
    </xf>
    <xf numFmtId="3" fontId="19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CC8"/>
      <rgbColor rgb="FF808080"/>
      <rgbColor rgb="FF9999FF"/>
      <rgbColor rgb="FF993366"/>
      <rgbColor rgb="FFFBF9F7"/>
      <rgbColor rgb="FFEDEA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0392B"/>
      <rgbColor rgb="FF6B6460"/>
      <rgbColor rgb="FF969696"/>
      <rgbColor rgb="FF003366"/>
      <rgbColor rgb="FF339966"/>
      <rgbColor rgb="FF003300"/>
      <rgbColor rgb="FF1A1416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100" customWidth="1" style="46" min="2" max="2"/>
  </cols>
  <sheetData>
    <row r="1" ht="21" customHeight="1" s="47">
      <c r="B1" s="48" t="inlineStr">
        <is>
          <t>KING STUDIO 가격 모델링</t>
        </is>
      </c>
    </row>
    <row r="2" ht="15" customHeight="1" s="47">
      <c r="B2" s="49" t="inlineStr">
        <is>
          <t>Pricing &amp; Unit Economics Model — 파라미터 입력형 (방식 B)</t>
        </is>
      </c>
    </row>
    <row r="4" ht="15" customHeight="1" s="47">
      <c r="B4" s="50" t="inlineStr">
        <is>
          <t>■ 이 모델의 목적</t>
        </is>
      </c>
    </row>
    <row r="5" ht="16.5" customHeight="1" s="47">
      <c r="B5" s="46" t="inlineStr">
        <is>
          <t>PRD 미해결 이슈 O3 해소용. 패키지 가격이 단위원가 대비 이익이 남는지, 할인을 다 얹어도</t>
        </is>
      </c>
    </row>
    <row r="6" ht="16.5" customHeight="1" s="47">
      <c r="B6" s="51" t="inlineStr">
        <is>
          <t>플러스인지, 월 몇 건을 팔아야 사업이 유지되는지를 계산한다.</t>
        </is>
      </c>
    </row>
    <row r="8" ht="15" customHeight="1" s="47">
      <c r="B8" s="50" t="inlineStr">
        <is>
          <t>■ 사용법</t>
        </is>
      </c>
    </row>
    <row r="9" ht="16.5" customHeight="1" s="47">
      <c r="B9" s="46" t="inlineStr">
        <is>
          <t>1. 노란 배경 + 파란 글씨 칸만 채우면 된다. 나머지는 자동 계산된다.</t>
        </is>
      </c>
    </row>
    <row r="10" ht="16.5" customHeight="1" s="47">
      <c r="B10" s="46" t="inlineStr">
        <is>
          <t>2. 입력은 전부 [1.입력값] 시트에 모여 있다. 거기 한 곳만 바꾸면 모든 시트가 갱신된다.</t>
        </is>
      </c>
    </row>
    <row r="11" ht="16.5" customHeight="1" s="47">
      <c r="B11" s="46" t="inlineStr">
        <is>
          <t>3. 모르는 값은 비워두거나 추정치를 넣고, 색으로 "확정/추정"을 구분해 관리하라.</t>
        </is>
      </c>
    </row>
    <row r="13" ht="16.5" customHeight="1" s="47">
      <c r="B13" s="50" t="inlineStr">
        <is>
          <t>■ 색상 규칙 (재무모델 표준)</t>
        </is>
      </c>
    </row>
    <row r="14" ht="16.5" customHeight="1" s="47">
      <c r="B14" s="51" t="inlineStr">
        <is>
          <t>파란 글씨 + 노란 배경 = 당신이 입력하는 값</t>
        </is>
      </c>
    </row>
    <row r="15" ht="16.5" customHeight="1" s="47">
      <c r="B15" s="51" t="inlineStr">
        <is>
          <t>검은 글씨 = 자동 계산 (수식)</t>
        </is>
      </c>
    </row>
    <row r="16" ht="16.5" customHeight="1" s="47">
      <c r="B16" s="51" t="inlineStr">
        <is>
          <t>초록 글씨 = 다른 시트에서 가져온 값</t>
        </is>
      </c>
    </row>
    <row r="18" ht="15" customHeight="1" s="47">
      <c r="B18" s="50" t="inlineStr">
        <is>
          <t>■ 시트 구성</t>
        </is>
      </c>
    </row>
    <row r="19" ht="16.5" customHeight="1" s="47">
      <c r="B19" s="46" t="inlineStr">
        <is>
          <t>[1.입력값]      모든 원가·가정을 한곳에 모음 — 여기만 채우면 됨</t>
        </is>
      </c>
    </row>
    <row r="20" ht="16.5" customHeight="1" s="47">
      <c r="B20" s="46" t="inlineStr">
        <is>
          <t>[2.단위마진]    패키지별로 한 건 팔 때 남는 돈 (정가 기준)</t>
        </is>
      </c>
    </row>
    <row r="21" ht="16.5" customHeight="1" s="47">
      <c r="B21" s="46" t="inlineStr">
        <is>
          <t>[3.할인시나리오] 친구초대·프로모션·OTA 수수료를 얹었을 때의 마진</t>
        </is>
      </c>
    </row>
    <row r="22" ht="16.5" customHeight="1" s="47">
      <c r="B22" s="46" t="inlineStr">
        <is>
          <t>[4.손익분기]    고정비를 덮으려면 월 몇 건을 팔아야 하는가</t>
        </is>
      </c>
    </row>
    <row r="24" ht="16.5" customHeight="1" s="47">
      <c r="B24" s="52" t="inlineStr">
        <is>
          <t>■ PRD에서 이미 확정된 값 (미리 채워둠)</t>
        </is>
      </c>
    </row>
    <row r="25" ht="16.5" customHeight="1" s="47">
      <c r="B25" s="46" t="inlineStr">
        <is>
          <t>· 패키지 정가: Gold 40만 / Diamond 50만 / Premium 150만 (1인 기준)</t>
        </is>
      </c>
    </row>
    <row r="26" ht="16.5" customHeight="1" s="47">
      <c r="B26" s="46" t="inlineStr">
        <is>
          <t>· 결제 수수료: KG이니시스 3.0% / PayPal 4.4% + 560원</t>
        </is>
      </c>
    </row>
    <row r="27" ht="16.5" customHeight="1" s="47">
      <c r="B27" s="46" t="inlineStr">
        <is>
          <t>· 플랫폼 운영비: MVP 월 452,000원 (PRD 7.13)</t>
        </is>
      </c>
    </row>
    <row r="28" ht="16.5" customHeight="1" s="47">
      <c r="B28" s="46" t="inlineStr">
        <is>
          <t>· 친구초대: 10%, 상한 5만원, Diamond·Premium·단체만 (Gold·대여 제외)</t>
        </is>
      </c>
    </row>
    <row r="30" ht="16.5" customHeight="1" s="47">
      <c r="B30" s="50" t="inlineStr">
        <is>
          <t>■ 당신이 반드시 채워야 하는 값 (노란 칸)</t>
        </is>
      </c>
    </row>
    <row r="31" ht="16.5" customHeight="1" s="47">
      <c r="B31" s="46" t="inlineStr">
        <is>
          <t>· 세션당 인건비 (보컬 디렉팅 / 촬영 / 믹싱·마스터링 엔지니어)</t>
        </is>
      </c>
    </row>
    <row r="32" ht="16.5" customHeight="1" s="47">
      <c r="B32" s="46" t="inlineStr">
        <is>
          <t>· Premium MV 외주 제작 단가  ← Premium 원가의 핵심</t>
        </is>
      </c>
    </row>
    <row r="33" ht="16.5" customHeight="1" s="47">
      <c r="B33" s="46" t="inlineStr">
        <is>
          <t>· 곡당 라이선스료 (0일 수도, 정액일 수도)</t>
        </is>
      </c>
    </row>
    <row r="34" ht="16.5" customHeight="1" s="47">
      <c r="B34" s="46" t="inlineStr">
        <is>
          <t>· 월 임대료, 월 고정 인건비, 장비 감가상각</t>
        </is>
      </c>
    </row>
    <row r="35" ht="16.5" customHeight="1" s="47">
      <c r="B35" s="46" t="inlineStr">
        <is>
          <t>· OTA 실제 수수료율 (KLOOK·KKday)</t>
        </is>
      </c>
    </row>
    <row r="37" ht="15" customHeight="1" s="47">
      <c r="B37" s="53" t="inlineStr">
        <is>
          <t>주의: 이 모델은 데이터를 입력해야 결과가 나온다. 지금 비어 있는 노란 칸이</t>
        </is>
      </c>
    </row>
    <row r="38" ht="15" customHeight="1" s="47">
      <c r="B38" s="53" t="inlineStr">
        <is>
          <t>채워지기 전까지의 마진·손익분기 숫자는 의미가 없다.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E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38" customWidth="1" style="46" min="2" max="2"/>
    <col width="14" customWidth="1" style="46" min="3" max="3"/>
    <col width="10" customWidth="1" style="46" min="4" max="4"/>
    <col width="44" customWidth="1" style="46" min="5" max="5"/>
  </cols>
  <sheetData>
    <row r="1" ht="21" customHeight="1" s="47">
      <c r="B1" s="48" t="inlineStr">
        <is>
          <t>1. 입력값 (INPUTS)</t>
        </is>
      </c>
    </row>
    <row r="2" ht="15" customHeight="1" s="47">
      <c r="B2" s="53" t="inlineStr">
        <is>
          <t>노란 칸을 채우세요. 파란 글씨 = 입력, 검은 글씨 = 자동계산.</t>
        </is>
      </c>
    </row>
    <row r="4" ht="16.5" customHeight="1" s="47">
      <c r="B4" s="54" t="inlineStr">
        <is>
          <t>항목</t>
        </is>
      </c>
      <c r="C4" s="54" t="inlineStr">
        <is>
          <t>값</t>
        </is>
      </c>
      <c r="D4" s="54" t="inlineStr">
        <is>
          <t>단위</t>
        </is>
      </c>
      <c r="E4" s="54" t="inlineStr">
        <is>
          <t>비고 / 출처</t>
        </is>
      </c>
    </row>
    <row r="5" ht="16.5" customHeight="1" s="47">
      <c r="B5" s="55" t="inlineStr">
        <is>
          <t>1-A. 패키지 정가 (1인 기준, PRD 5.2 확정)</t>
        </is>
      </c>
    </row>
    <row r="6" ht="16.5" customHeight="1" s="47">
      <c r="B6" s="56" t="inlineStr">
        <is>
          <t>Gold 정가</t>
        </is>
      </c>
      <c r="C6" s="57" t="n">
        <v>400000</v>
      </c>
      <c r="D6" s="56" t="inlineStr">
        <is>
          <t>KRW</t>
        </is>
      </c>
      <c r="E6" s="58" t="inlineStr">
        <is>
          <t>PRD 5.2 확정</t>
        </is>
      </c>
    </row>
    <row r="7" ht="16.5" customHeight="1" s="47">
      <c r="B7" s="56" t="inlineStr">
        <is>
          <t>Diamond 정가</t>
        </is>
      </c>
      <c r="C7" s="57" t="n">
        <v>500000</v>
      </c>
      <c r="D7" s="56" t="inlineStr">
        <is>
          <t>KRW</t>
        </is>
      </c>
      <c r="E7" s="58" t="inlineStr">
        <is>
          <t>PRD 5.2 확정</t>
        </is>
      </c>
    </row>
    <row r="8" ht="16.5" customHeight="1" s="47">
      <c r="B8" s="56" t="inlineStr">
        <is>
          <t>Premium 정가</t>
        </is>
      </c>
      <c r="C8" s="57" t="n">
        <v>1500000</v>
      </c>
      <c r="D8" s="56" t="inlineStr">
        <is>
          <t>KRW</t>
        </is>
      </c>
      <c r="E8" s="58" t="inlineStr">
        <is>
          <t>PRD 5.2 확정</t>
        </is>
      </c>
    </row>
    <row r="9" ht="16.5" customHeight="1" s="47">
      <c r="B9" s="56" t="inlineStr">
        <is>
          <t>1Hour 정가 (대여)</t>
        </is>
      </c>
      <c r="C9" s="57" t="n">
        <v>100000</v>
      </c>
      <c r="D9" s="56" t="inlineStr">
        <is>
          <t>KRW</t>
        </is>
      </c>
      <c r="E9" s="58" t="inlineStr">
        <is>
          <t>PRD 5.2 확정, 한국어 전용</t>
        </is>
      </c>
    </row>
    <row r="10" ht="16.5" customHeight="1" s="47">
      <c r="B10" s="56" t="inlineStr">
        <is>
          <t>1Pro 정가 (대여)</t>
        </is>
      </c>
      <c r="C10" s="57" t="n">
        <v>300000</v>
      </c>
      <c r="D10" s="56" t="inlineStr">
        <is>
          <t>KRW</t>
        </is>
      </c>
      <c r="E10" s="58" t="inlineStr">
        <is>
          <t>PRD 5.2 확정, 한국어 전용</t>
        </is>
      </c>
    </row>
    <row r="11" ht="16.5" customHeight="1" s="47">
      <c r="B11" s="56" t="inlineStr">
        <is>
          <t>K-Pop Making Class (1인)</t>
        </is>
      </c>
      <c r="C11" s="57" t="n">
        <v>150000</v>
      </c>
      <c r="D11" s="56" t="inlineStr">
        <is>
          <t>KRW</t>
        </is>
      </c>
      <c r="E11" s="58" t="inlineStr">
        <is>
          <t>PRD 5.2 확정, 단체</t>
        </is>
      </c>
    </row>
    <row r="12" ht="16.5" customHeight="1" s="47">
      <c r="B12" s="59" t="inlineStr">
        <is>
          <t>꿈길 (1인)</t>
        </is>
      </c>
      <c r="C12" s="57" t="n">
        <v>30000</v>
      </c>
      <c r="D12" s="56" t="inlineStr">
        <is>
          <t>KRW</t>
        </is>
      </c>
      <c r="E12" s="58" t="inlineStr">
        <is>
          <t>PRD 5.2 확정, 단체</t>
        </is>
      </c>
    </row>
    <row r="13" ht="16.5" customHeight="1" s="47">
      <c r="B13" s="59" t="inlineStr">
        <is>
          <t>워크샵 (1인)</t>
        </is>
      </c>
      <c r="C13" s="57" t="n">
        <v>50000</v>
      </c>
      <c r="D13" s="56" t="inlineStr">
        <is>
          <t>KRW</t>
        </is>
      </c>
      <c r="E13" s="58" t="inlineStr">
        <is>
          <t>PRD 5.2 확정, 단체</t>
        </is>
      </c>
    </row>
    <row r="14" ht="16.5" customHeight="1" s="47">
      <c r="B14" s="55" t="inlineStr">
        <is>
          <t>1-B. 세션당 변동비 (★ 입력 필요 — 한 건 팔릴 때마다 나가는 돈)</t>
        </is>
      </c>
    </row>
    <row r="15" ht="16.5" customHeight="1" s="47">
      <c r="B15" s="59" t="inlineStr">
        <is>
          <t>녹음 엔지니어 / 세션 (2h)</t>
        </is>
      </c>
      <c r="C15" s="57" t="n">
        <v>50000</v>
      </c>
      <c r="D15" s="56" t="inlineStr">
        <is>
          <t>KRW</t>
        </is>
      </c>
      <c r="E15" s="60" t="inlineStr">
        <is>
          <t>입력: Gold·Diamond 2시간 세션</t>
        </is>
      </c>
    </row>
    <row r="16" ht="16.5" customHeight="1" s="47">
      <c r="B16" s="59" t="inlineStr">
        <is>
          <t>녹음 엔지니어 / Premium (3h)</t>
        </is>
      </c>
      <c r="C16" s="57" t="n">
        <v>50000</v>
      </c>
      <c r="D16" s="56" t="inlineStr">
        <is>
          <t>KRW</t>
        </is>
      </c>
      <c r="E16" s="60" t="inlineStr">
        <is>
          <t>입력: Premium 3시간 세션</t>
        </is>
      </c>
    </row>
    <row r="17" ht="16.5" customHeight="1" s="47">
      <c r="B17" s="59" t="inlineStr">
        <is>
          <t>보컬 디렉팅 / 세션</t>
        </is>
      </c>
      <c r="C17" s="57" t="n">
        <v>40000</v>
      </c>
      <c r="D17" s="56" t="inlineStr">
        <is>
          <t>KRW</t>
        </is>
      </c>
      <c r="E17" s="60" t="inlineStr">
        <is>
          <t>입력: 디렉터 인건비 (엔지니어와 별개)</t>
        </is>
      </c>
    </row>
    <row r="18" ht="16.5" customHeight="1" s="47">
      <c r="B18" s="59" t="inlineStr">
        <is>
          <t>통역 / 세션</t>
        </is>
      </c>
      <c r="C18" s="57" t="n">
        <v>40000</v>
      </c>
      <c r="D18" s="56" t="inlineStr">
        <is>
          <t>KRW</t>
        </is>
      </c>
      <c r="E18" s="60" t="inlineStr">
        <is>
          <t>입력: 외국인 세션 통역비 (PRD 5.2 통역 포함)</t>
        </is>
      </c>
    </row>
    <row r="19" ht="16.5" customHeight="1" s="47">
      <c r="B19" s="59" t="inlineStr">
        <is>
          <t>촬영 담당 / 세션</t>
        </is>
      </c>
      <c r="C19" s="57" t="n">
        <v>0</v>
      </c>
      <c r="D19" s="56" t="inlineStr">
        <is>
          <t>KRW</t>
        </is>
      </c>
      <c r="E19" s="60" t="inlineStr">
        <is>
          <t>입력: 0 (현재 별도 비용 없음)</t>
        </is>
      </c>
    </row>
    <row r="20" ht="16.5" customHeight="1" s="47">
      <c r="B20" s="59" t="inlineStr">
        <is>
          <t>사진 셀렉트·후처리 / 세션</t>
        </is>
      </c>
      <c r="C20" s="57" t="n">
        <v>0</v>
      </c>
      <c r="D20" s="56" t="inlineStr">
        <is>
          <t>KRW</t>
        </is>
      </c>
      <c r="E20" s="60" t="inlineStr">
        <is>
          <t>입력: 0</t>
        </is>
      </c>
    </row>
    <row r="21" ht="16.5" customHeight="1" s="47">
      <c r="B21" s="59" t="inlineStr">
        <is>
          <t>믹싱·마스터링 / 1곡</t>
        </is>
      </c>
      <c r="C21" s="57" t="n">
        <v>50000</v>
      </c>
      <c r="D21" s="56" t="inlineStr">
        <is>
          <t>KRW</t>
        </is>
      </c>
      <c r="E21" s="60" t="inlineStr">
        <is>
          <t>입력: Diamond·Premium</t>
        </is>
      </c>
    </row>
    <row r="22" ht="16.5" customHeight="1" s="47">
      <c r="B22" s="56" t="inlineStr">
        <is>
          <t>Premium MV 외주 / 1건</t>
        </is>
      </c>
      <c r="C22" s="57" t="n">
        <v>500000</v>
      </c>
      <c r="D22" s="56" t="inlineStr">
        <is>
          <t>KRW</t>
        </is>
      </c>
      <c r="E22" s="60" t="inlineStr">
        <is>
          <t>입력: 외부팀 납품 단가</t>
        </is>
      </c>
    </row>
    <row r="23" ht="16.5" customHeight="1" s="47">
      <c r="B23" s="59" t="inlineStr">
        <is>
          <t>곡 라이선스료 / 1곡</t>
        </is>
      </c>
      <c r="C23" s="57" t="n">
        <v>0</v>
      </c>
      <c r="D23" s="56" t="inlineStr">
        <is>
          <t>KRW</t>
        </is>
      </c>
      <c r="E23" s="60" t="inlineStr">
        <is>
          <t>입력: 현재 0</t>
        </is>
      </c>
    </row>
    <row r="24" ht="16.5" customHeight="1" s="47">
      <c r="B24" s="59" t="inlineStr">
        <is>
          <t>소모품·기타 / 세션</t>
        </is>
      </c>
      <c r="C24" s="57" t="n">
        <v>10000</v>
      </c>
      <c r="D24" s="56" t="inlineStr">
        <is>
          <t>KRW</t>
        </is>
      </c>
      <c r="E24" s="60" t="inlineStr">
        <is>
          <t>입력: USB·인화 등</t>
        </is>
      </c>
    </row>
    <row r="25" ht="16.5" customHeight="1" s="47">
      <c r="B25" s="55" t="inlineStr">
        <is>
          <t>1-C. 결제 수수료 (PRD 5.5 확정)</t>
        </is>
      </c>
    </row>
    <row r="26" ht="16.5" customHeight="1" s="47">
      <c r="B26" s="56" t="inlineStr">
        <is>
          <t>KG이니시스 수수료율</t>
        </is>
      </c>
      <c r="C26" s="61" t="n">
        <v>0.03</v>
      </c>
      <c r="D26" s="56" t="inlineStr">
        <is>
          <t>%</t>
        </is>
      </c>
      <c r="E26" s="58" t="inlineStr">
        <is>
          <t>PRD 확정</t>
        </is>
      </c>
    </row>
    <row r="27" ht="16.5" customHeight="1" s="47">
      <c r="B27" s="56" t="inlineStr">
        <is>
          <t>PayPal 수수료율</t>
        </is>
      </c>
      <c r="C27" s="61" t="n">
        <v>0.044</v>
      </c>
      <c r="D27" s="56" t="inlineStr">
        <is>
          <t>%</t>
        </is>
      </c>
      <c r="E27" s="58" t="inlineStr">
        <is>
          <t>PRD 확정</t>
        </is>
      </c>
    </row>
    <row r="28" ht="16.5" customHeight="1" s="47">
      <c r="B28" s="56" t="inlineStr">
        <is>
          <t>PayPal 고정 수수료</t>
        </is>
      </c>
      <c r="C28" s="57" t="n">
        <v>560</v>
      </c>
      <c r="D28" s="56" t="inlineStr">
        <is>
          <t>KRW</t>
        </is>
      </c>
      <c r="E28" s="58" t="inlineStr">
        <is>
          <t>PRD 확정, 건당</t>
        </is>
      </c>
    </row>
    <row r="29" ht="16.5" customHeight="1" s="47">
      <c r="B29" s="55" t="inlineStr">
        <is>
          <t>1-D. 할인 · 채널 수수료</t>
        </is>
      </c>
    </row>
    <row r="30" ht="15" customHeight="1" s="47">
      <c r="B30" s="59" t="inlineStr">
        <is>
          <t>친구초대 할인율</t>
        </is>
      </c>
      <c r="C30" s="61" t="n">
        <v>0.1</v>
      </c>
      <c r="D30" s="56" t="inlineStr">
        <is>
          <t>%</t>
        </is>
      </c>
      <c r="E30" s="58" t="inlineStr">
        <is>
          <t>PRD 확정 (Diamond·Premium·단체만)</t>
        </is>
      </c>
    </row>
    <row r="31" ht="15" customHeight="1" s="47">
      <c r="B31" s="59" t="inlineStr">
        <is>
          <t>친구초대 할인 상한</t>
        </is>
      </c>
      <c r="C31" s="57" t="n">
        <v>50000</v>
      </c>
      <c r="D31" s="56" t="inlineStr">
        <is>
          <t>KRW</t>
        </is>
      </c>
      <c r="E31" s="58" t="inlineStr">
        <is>
          <t>PRD 확정</t>
        </is>
      </c>
    </row>
    <row r="32" ht="15" customHeight="1" s="47">
      <c r="B32" s="59" t="inlineStr">
        <is>
          <t>프로모션 코드 기본 할인율</t>
        </is>
      </c>
      <c r="C32" s="61" t="n">
        <v>0.1</v>
      </c>
      <c r="D32" s="56" t="inlineStr">
        <is>
          <t>%</t>
        </is>
      </c>
      <c r="E32" s="58" t="inlineStr">
        <is>
          <t>PRD 확정 (1~50% 범위)</t>
        </is>
      </c>
    </row>
    <row r="33" ht="16.5" customHeight="1" s="47">
      <c r="B33" s="56" t="inlineStr">
        <is>
          <t>KLOOK 수수료율</t>
        </is>
      </c>
      <c r="C33" s="62" t="n">
        <v>0.2</v>
      </c>
      <c r="D33" s="56" t="inlineStr">
        <is>
          <t>%</t>
        </is>
      </c>
      <c r="E33" s="60" t="inlineStr">
        <is>
          <t>입력: 실제 정산 수수료율</t>
        </is>
      </c>
    </row>
    <row r="34" ht="16.5" customHeight="1" s="47">
      <c r="B34" s="56" t="inlineStr">
        <is>
          <t>KKday 수수료율</t>
        </is>
      </c>
      <c r="C34" s="62" t="n">
        <v>0.2</v>
      </c>
      <c r="D34" s="56" t="inlineStr">
        <is>
          <t>%</t>
        </is>
      </c>
      <c r="E34" s="60" t="inlineStr">
        <is>
          <t>입력: 실제 정산 수수료율</t>
        </is>
      </c>
    </row>
    <row r="35" ht="16.5" customHeight="1" s="47">
      <c r="B35" s="55" t="inlineStr">
        <is>
          <t>1-E. 월 고정비 (★ 입력 필요 — 세션 수와 무관하게 나가는 돈)</t>
        </is>
      </c>
    </row>
    <row r="36" ht="16.5" customHeight="1" s="47">
      <c r="B36" s="59" t="inlineStr">
        <is>
          <t>스튜디오 임대료 / 월</t>
        </is>
      </c>
      <c r="C36" s="57" t="n">
        <v>2530000</v>
      </c>
      <c r="D36" s="56" t="inlineStr">
        <is>
          <t>KRW</t>
        </is>
      </c>
      <c r="E36" s="60" t="inlineStr">
        <is>
          <t>입력: STUDIO A</t>
        </is>
      </c>
    </row>
    <row r="37" ht="16.5" customHeight="1" s="47">
      <c r="B37" s="59" t="inlineStr">
        <is>
          <t>상주 인력 인건비 / 월</t>
        </is>
      </c>
      <c r="C37" s="57" t="n">
        <v>0</v>
      </c>
      <c r="D37" s="56" t="inlineStr">
        <is>
          <t>KRW</t>
        </is>
      </c>
      <c r="E37" s="60" t="inlineStr">
        <is>
          <t>입력: 0 (세션당 정산)</t>
        </is>
      </c>
    </row>
    <row r="38" ht="16.5" customHeight="1" s="47">
      <c r="B38" s="59" t="inlineStr">
        <is>
          <t>장비 감가상각·유지보수 / 월</t>
        </is>
      </c>
      <c r="C38" s="57" t="n">
        <v>170000</v>
      </c>
      <c r="D38" s="56" t="inlineStr">
        <is>
          <t>KRW</t>
        </is>
      </c>
      <c r="E38" s="60" t="inlineStr">
        <is>
          <t>입력: 월 환산</t>
        </is>
      </c>
    </row>
    <row r="39" ht="16.5" customHeight="1" s="47">
      <c r="B39" s="59" t="inlineStr">
        <is>
          <t>플랫폼 운영비 / 월</t>
        </is>
      </c>
      <c r="C39" s="57" t="n">
        <v>452000</v>
      </c>
      <c r="D39" s="56" t="inlineStr">
        <is>
          <t>KRW</t>
        </is>
      </c>
      <c r="E39" s="60" t="inlineStr">
        <is>
          <t>손익분기 포함 (실제 운영비)</t>
        </is>
      </c>
    </row>
    <row r="40" ht="16.5" customHeight="1" s="47">
      <c r="B40" s="59" t="inlineStr">
        <is>
          <t>기타 고정비 / 월</t>
        </is>
      </c>
      <c r="C40" s="57" t="n">
        <v>300000</v>
      </c>
      <c r="D40" s="56" t="inlineStr">
        <is>
          <t>KRW</t>
        </is>
      </c>
      <c r="E40" s="60" t="inlineStr">
        <is>
          <t>입력: 보험·통신·세무 등</t>
        </is>
      </c>
    </row>
    <row r="41" ht="15" customHeight="1" s="47">
      <c r="B41" s="63" t="inlineStr">
        <is>
          <t>월 고정비 합계</t>
        </is>
      </c>
      <c r="C41" s="64">
        <f>SUM(C36:C40)</f>
        <v/>
      </c>
      <c r="D41" s="65" t="inlineStr">
        <is>
          <t>KRW</t>
        </is>
      </c>
      <c r="E41" s="53" t="inlineStr">
        <is>
          <t>자동 합계</t>
        </is>
      </c>
    </row>
    <row r="42">
      <c r="B42" s="46" t="inlineStr">
        <is>
          <t>수정·보정비 / 세션 (Dia·Prem)</t>
        </is>
      </c>
      <c r="C42" s="46" t="n">
        <v>20000</v>
      </c>
      <c r="D42" s="46" t="inlineStr">
        <is>
          <t>KRW</t>
        </is>
      </c>
      <c r="E42" s="46" t="inlineStr">
        <is>
          <t>입력: Dia·Prem 추가 수정작업 (Gold 제외)</t>
        </is>
      </c>
    </row>
    <row r="43" ht="17.15" customHeight="1" s="47">
      <c r="B43" s="55" t="inlineStr">
        <is>
          <t>1-F. 단체 세션 가정 (인건비는 회당 고정 — 인원 무관)</t>
        </is>
      </c>
    </row>
    <row r="44" ht="17.15" customHeight="1" s="47">
      <c r="B44" s="66" t="inlineStr">
        <is>
          <t>단체 세션 엔지니어 / 회</t>
        </is>
      </c>
      <c r="C44" s="57" t="n">
        <v>50000</v>
      </c>
      <c r="D44" s="56" t="inlineStr">
        <is>
          <t>KRW</t>
        </is>
      </c>
      <c r="E44" s="67" t="inlineStr">
        <is>
          <t>회당 1팀 고정</t>
        </is>
      </c>
    </row>
    <row r="45" ht="17.15" customHeight="1" s="47">
      <c r="B45" s="66" t="inlineStr">
        <is>
          <t>단체 세션 디렉터 / 회</t>
        </is>
      </c>
      <c r="C45" s="57" t="n">
        <v>40000</v>
      </c>
      <c r="D45" s="56" t="inlineStr">
        <is>
          <t>KRW</t>
        </is>
      </c>
      <c r="E45" s="67" t="inlineStr">
        <is>
          <t>회당 1팀 고정</t>
        </is>
      </c>
    </row>
    <row r="46" ht="17.15" customHeight="1" s="47">
      <c r="B46" s="66" t="inlineStr">
        <is>
          <t>단체 통역 / 회 (Making Class만)</t>
        </is>
      </c>
      <c r="C46" s="57" t="n">
        <v>40000</v>
      </c>
      <c r="D46" s="56" t="inlineStr">
        <is>
          <t>KRW</t>
        </is>
      </c>
      <c r="E46" s="67" t="inlineStr">
        <is>
          <t>다국어 단체만, 국내 단체 제외</t>
        </is>
      </c>
    </row>
    <row r="47" ht="17.15" customHeight="1" s="47">
      <c r="B47" s="66" t="inlineStr">
        <is>
          <t>단체 소모품 / 1인</t>
        </is>
      </c>
      <c r="C47" s="57" t="n">
        <v>5000</v>
      </c>
      <c r="D47" s="56" t="inlineStr">
        <is>
          <t>KRW</t>
        </is>
      </c>
      <c r="E47" s="67" t="inlineStr">
        <is>
          <t>인원당 (USB·인화 등)</t>
        </is>
      </c>
    </row>
    <row r="48" ht="15" customHeight="1" s="47">
      <c r="B48" s="66" t="inlineStr">
        <is>
          <t>국내 단체 결제수수료율</t>
        </is>
      </c>
      <c r="C48" s="61" t="n">
        <v>0</v>
      </c>
      <c r="D48" s="56" t="inlineStr">
        <is>
          <t>%</t>
        </is>
      </c>
      <c r="E48" s="67" t="inlineStr">
        <is>
          <t>꿈길·워크샵 B2B 계좌이체 가정(≈0)</t>
        </is>
      </c>
    </row>
  </sheetData>
  <mergeCells count="6">
    <mergeCell ref="B35:E35"/>
    <mergeCell ref="B43:E43"/>
    <mergeCell ref="B29:E29"/>
    <mergeCell ref="B25:E25"/>
    <mergeCell ref="B5:E5"/>
    <mergeCell ref="B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G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26" customWidth="1" style="46" min="2" max="2"/>
    <col width="14" customWidth="1" style="46" min="3" max="6"/>
    <col width="30" customWidth="1" style="46" min="7" max="7"/>
  </cols>
  <sheetData>
    <row r="1" ht="21" customHeight="1" s="47">
      <c r="B1" s="48" t="inlineStr">
        <is>
          <t>2. 패키지별 단위 마진 (정가 · 자체 채널 기준)</t>
        </is>
      </c>
    </row>
    <row r="2" ht="15" customHeight="1" s="47">
      <c r="B2" s="53" t="inlineStr">
        <is>
          <t>한 건 팔 때 남는 돈. 자체 사이트 결제(OTA·할인 없음) 기준. 초록 글씨 = 입력값 시트 참조.</t>
        </is>
      </c>
    </row>
    <row r="4" ht="15" customHeight="1" s="47">
      <c r="B4" s="68" t="inlineStr">
        <is>
          <t>항목</t>
        </is>
      </c>
      <c r="C4" s="69" t="inlineStr">
        <is>
          <t>Gold</t>
        </is>
      </c>
      <c r="D4" s="69" t="inlineStr">
        <is>
          <t>Diamond</t>
        </is>
      </c>
      <c r="E4" s="69" t="inlineStr">
        <is>
          <t>Premium</t>
        </is>
      </c>
      <c r="F4" s="68" t="inlineStr">
        <is>
          <t>비고</t>
        </is>
      </c>
    </row>
    <row r="5" ht="16.5" customHeight="1" s="47">
      <c r="B5" s="63" t="inlineStr">
        <is>
          <t>매출 (정가, 1인)</t>
        </is>
      </c>
      <c r="C5" s="70">
        <f>'1.입력값'!$C$6</f>
        <v/>
      </c>
      <c r="D5" s="70">
        <f>'1.입력값'!$C$7</f>
        <v/>
      </c>
      <c r="E5" s="70">
        <f>'1.입력값'!$C$8</f>
        <v/>
      </c>
      <c r="F5" s="60" t="inlineStr">
        <is>
          <t>정가</t>
        </is>
      </c>
    </row>
    <row r="6" ht="15" customHeight="1" s="47">
      <c r="B6" s="59" t="inlineStr">
        <is>
          <t xml:space="preserve">  녹음 엔지니어 인건비</t>
        </is>
      </c>
      <c r="C6" s="70">
        <f>-'1.입력값'!$C$15</f>
        <v/>
      </c>
      <c r="D6" s="70">
        <f>-'1.입력값'!$C$15</f>
        <v/>
      </c>
      <c r="E6" s="70">
        <f>-'1.입력값'!$C$16</f>
        <v/>
      </c>
      <c r="F6" s="58" t="inlineStr">
        <is>
          <t>Gold·Dia 2h / Prem 3h</t>
        </is>
      </c>
    </row>
    <row r="7" ht="15" customHeight="1" s="47">
      <c r="B7" s="59" t="inlineStr">
        <is>
          <t xml:space="preserve">  보컬 디렉팅 인건비</t>
        </is>
      </c>
      <c r="C7" s="70">
        <f>-'1.입력값'!$C$17</f>
        <v/>
      </c>
      <c r="D7" s="70">
        <f>-'1.입력값'!$C$17</f>
        <v/>
      </c>
      <c r="E7" s="70">
        <f>-'1.입력값'!$C$17</f>
        <v/>
      </c>
      <c r="F7" s="60" t="inlineStr">
        <is>
          <t>전 패키지</t>
        </is>
      </c>
    </row>
    <row r="8" ht="15" customHeight="1" s="47">
      <c r="B8" s="59" t="inlineStr">
        <is>
          <t xml:space="preserve">  통역 인건비</t>
        </is>
      </c>
      <c r="C8" s="70">
        <f>-'1.입력값'!$C$18</f>
        <v/>
      </c>
      <c r="D8" s="70">
        <f>-'1.입력값'!$C$18</f>
        <v/>
      </c>
      <c r="E8" s="70">
        <f>-'1.입력값'!$C$18</f>
        <v/>
      </c>
      <c r="F8" s="60" t="inlineStr">
        <is>
          <t>외국인 세션</t>
        </is>
      </c>
    </row>
    <row r="9" ht="15" customHeight="1" s="47">
      <c r="B9" s="59" t="inlineStr">
        <is>
          <t xml:space="preserve">  촬영 인건비</t>
        </is>
      </c>
      <c r="C9" s="70">
        <f>-'1.입력값'!$C$19</f>
        <v/>
      </c>
      <c r="D9" s="70">
        <f>-'1.입력값'!$C$19</f>
        <v/>
      </c>
      <c r="E9" s="70">
        <f>-'1.입력값'!$C$19</f>
        <v/>
      </c>
      <c r="F9" s="60" t="inlineStr">
        <is>
          <t>전 패키지 사진 포함</t>
        </is>
      </c>
    </row>
    <row r="10" ht="16.5" customHeight="1" s="47">
      <c r="B10" s="59" t="inlineStr">
        <is>
          <t xml:space="preserve">  사진 셀렉트·후처리</t>
        </is>
      </c>
      <c r="C10" s="70">
        <f>-'1.입력값'!$C$20</f>
        <v/>
      </c>
      <c r="D10" s="70">
        <f>-'1.입력값'!$C$20</f>
        <v/>
      </c>
      <c r="E10" s="70">
        <f>-'1.입력값'!$C$20</f>
        <v/>
      </c>
      <c r="F10" s="58" t="n"/>
    </row>
    <row r="11" ht="16.5" customHeight="1" s="47">
      <c r="B11" s="59" t="inlineStr">
        <is>
          <t xml:space="preserve">  믹싱·마스터링</t>
        </is>
      </c>
      <c r="C11" s="71">
        <f>0</f>
        <v/>
      </c>
      <c r="D11" s="70">
        <f>-'1.입력값'!$C$21-'1.입력값'!$C$42</f>
        <v/>
      </c>
      <c r="E11" s="70">
        <f>-'1.입력값'!$C$21-'1.입력값'!$C$42</f>
        <v/>
      </c>
      <c r="F11" s="58" t="inlineStr">
        <is>
          <t>Gold 기본/Dia·Prem 믹싱+수정</t>
        </is>
      </c>
    </row>
    <row r="12" ht="16.5" customHeight="1" s="47">
      <c r="B12" s="56" t="inlineStr">
        <is>
          <t xml:space="preserve">  MV 외주 제작</t>
        </is>
      </c>
      <c r="C12" s="71">
        <f>0</f>
        <v/>
      </c>
      <c r="D12" s="71">
        <f>0</f>
        <v/>
      </c>
      <c r="E12" s="70">
        <f>-'1.입력값'!$C$22</f>
        <v/>
      </c>
      <c r="F12" s="58" t="inlineStr">
        <is>
          <t>Premium만</t>
        </is>
      </c>
    </row>
    <row r="13" ht="15" customHeight="1" s="47">
      <c r="B13" s="59" t="inlineStr">
        <is>
          <t xml:space="preserve">  곡 라이선스료</t>
        </is>
      </c>
      <c r="C13" s="70">
        <f>-'1.입력값'!$C$23</f>
        <v/>
      </c>
      <c r="D13" s="70">
        <f>-'1.입력값'!$C$23</f>
        <v/>
      </c>
      <c r="E13" s="70">
        <f>-'1.입력값'!$C$23</f>
        <v/>
      </c>
      <c r="F13" s="60" t="inlineStr">
        <is>
          <t>곡당</t>
        </is>
      </c>
    </row>
    <row r="14" ht="16.5" customHeight="1" s="47">
      <c r="B14" s="59" t="inlineStr">
        <is>
          <t xml:space="preserve">  소모품·기타</t>
        </is>
      </c>
      <c r="C14" s="70">
        <f>-'1.입력값'!$C$24</f>
        <v/>
      </c>
      <c r="D14" s="70">
        <f>-'1.입력값'!$C$24</f>
        <v/>
      </c>
      <c r="E14" s="70">
        <f>-'1.입력값'!$C$24</f>
        <v/>
      </c>
      <c r="F14" s="58" t="n"/>
    </row>
    <row r="15" ht="16.5" customHeight="1" s="47">
      <c r="B15" s="63" t="inlineStr">
        <is>
          <t>변동비 합계 (결제수수료 제외)</t>
        </is>
      </c>
      <c r="C15" s="72">
        <f>SUM(C6:C14)</f>
        <v/>
      </c>
      <c r="D15" s="72">
        <f>SUM(D6:D14)</f>
        <v/>
      </c>
      <c r="E15" s="72">
        <f>SUM(E6:E14)</f>
        <v/>
      </c>
      <c r="F15" s="65" t="n"/>
    </row>
    <row r="16" ht="16.5" customHeight="1" s="47">
      <c r="B16" s="59" t="inlineStr">
        <is>
          <t>결제 수수료 (PayPal 기준)</t>
        </is>
      </c>
      <c r="C16" s="70">
        <f>-('1.입력값'!$C$6*'1.입력값'!$C$27+'1.입력값'!$C$28)</f>
        <v/>
      </c>
      <c r="D16" s="70">
        <f>-('1.입력값'!$C$7*'1.입력값'!$C$27+'1.입력값'!$C$28)</f>
        <v/>
      </c>
      <c r="E16" s="70">
        <f>-('1.입력값'!$C$8*'1.입력값'!$C$27+'1.입력값'!$C$28)</f>
        <v/>
      </c>
      <c r="F16" s="58" t="inlineStr">
        <is>
          <t>PayPal 4.4%+560 (외국인 보수적 가정)</t>
        </is>
      </c>
    </row>
    <row r="17" ht="16.5" customHeight="1" s="47">
      <c r="B17" s="73" t="inlineStr">
        <is>
          <t>단위 마진 (정가)</t>
        </is>
      </c>
      <c r="C17" s="74">
        <f>C5+C15+C16</f>
        <v/>
      </c>
      <c r="D17" s="74">
        <f>D5+D15+D16</f>
        <v/>
      </c>
      <c r="E17" s="74">
        <f>E5+E15+E16</f>
        <v/>
      </c>
    </row>
    <row r="18" ht="15" customHeight="1" s="47">
      <c r="B18" s="63" t="inlineStr">
        <is>
          <t>마진율</t>
        </is>
      </c>
      <c r="C18" s="75">
        <f>IF(C5=0,0,C17/C5)</f>
        <v/>
      </c>
      <c r="D18" s="75">
        <f>IF(D5=0,0,D17/D5)</f>
        <v/>
      </c>
      <c r="E18" s="75">
        <f>IF(E5=0,0,E17/E5)</f>
        <v/>
      </c>
    </row>
    <row r="19" ht="16.5" customHeight="1" s="47">
      <c r="B19" s="63" t="inlineStr">
        <is>
          <t>【 2인 예약 】 매출 ×1.5, 인건비·통역 1팀 공통, 소모품 2배</t>
        </is>
      </c>
    </row>
    <row r="20" ht="16.5" customHeight="1" s="47">
      <c r="B20" s="56" t="inlineStr">
        <is>
          <t>2인 매출 (정가 ×1.5)</t>
        </is>
      </c>
      <c r="C20" s="70">
        <f>'1.입력값'!$C$6*1.5</f>
        <v/>
      </c>
      <c r="D20" s="70">
        <f>'1.입력값'!$C$7*1.5</f>
        <v/>
      </c>
      <c r="E20" s="70">
        <f>'1.입력값'!$C$8*1.5</f>
        <v/>
      </c>
    </row>
    <row r="21" ht="16.5" customHeight="1" s="47">
      <c r="B21" s="56" t="inlineStr">
        <is>
          <t>2인 변동비 (소모품만 추가)</t>
        </is>
      </c>
      <c r="C21" s="71">
        <f>C15-'1.입력값'!$C$24</f>
        <v/>
      </c>
      <c r="D21" s="71">
        <f>D15-'1.입력값'!$C$24</f>
        <v/>
      </c>
      <c r="E21" s="71">
        <f>E15-'1.입력값'!$C$24</f>
        <v/>
      </c>
    </row>
    <row r="22" ht="16.5" customHeight="1" s="47">
      <c r="B22" s="56" t="inlineStr">
        <is>
          <t>2인 결제수수료 (PayPal)</t>
        </is>
      </c>
      <c r="C22" s="70">
        <f>-('1.입력값'!$C$6*1.5*'1.입력값'!$C$27+'1.입력값'!$C$28)</f>
        <v/>
      </c>
      <c r="D22" s="70">
        <f>-('1.입력값'!$C$7*1.5*'1.입력값'!$C$27+'1.입력값'!$C$28)</f>
        <v/>
      </c>
      <c r="E22" s="70">
        <f>-('1.입력값'!$C$8*1.5*'1.입력값'!$C$27+'1.입력값'!$C$28)</f>
        <v/>
      </c>
    </row>
    <row r="23" ht="16.5" customHeight="1" s="47">
      <c r="B23" s="76" t="inlineStr">
        <is>
          <t>2인 마진 (총액)</t>
        </is>
      </c>
      <c r="C23" s="74">
        <f>C20+C21+C22</f>
        <v/>
      </c>
      <c r="D23" s="74">
        <f>D20+D21+D22</f>
        <v/>
      </c>
      <c r="E23" s="74">
        <f>E20+E21+E22</f>
        <v/>
      </c>
    </row>
    <row r="24" ht="16.5" customHeight="1" s="47">
      <c r="B24" s="56" t="inlineStr">
        <is>
          <t>2인 → 1인당 마진</t>
        </is>
      </c>
      <c r="C24" s="71">
        <f>C23/2</f>
        <v/>
      </c>
      <c r="D24" s="71">
        <f>D23/2</f>
        <v/>
      </c>
      <c r="E24" s="71">
        <f>E23/2</f>
        <v/>
      </c>
    </row>
    <row r="25" ht="16.5" customHeight="1" s="47">
      <c r="B25" s="56" t="inlineStr">
        <is>
          <t>2인 마진율</t>
        </is>
      </c>
      <c r="C25" s="75">
        <f>IF(C20=0,0,C23/C20)</f>
        <v/>
      </c>
      <c r="D25" s="75">
        <f>IF(D20=0,0,D23/D20)</f>
        <v/>
      </c>
      <c r="E25" s="75">
        <f>IF(E20=0,0,E23/E20)</f>
        <v/>
      </c>
    </row>
    <row r="27" ht="15" customHeight="1" s="47">
      <c r="B27" s="49" t="inlineStr">
        <is>
          <t>※ 1인 마진은 상단, 2인 마진은 위 블록. 2인은 매출 1.5배·인건비 고정이라 마진율이 더 높다.</t>
        </is>
      </c>
    </row>
    <row r="28">
      <c r="B28" t="inlineStr">
        <is>
          <t>※ 3~5인 마진 별도 산출 안함. 최저마진은 1인, 전 패키지 +. Gold PRD 5.2 최대 2인.</t>
        </is>
      </c>
    </row>
    <row r="29">
      <c r="B29" s="77" t="n"/>
    </row>
    <row r="30">
      <c r="B30" s="78" t="n"/>
    </row>
    <row r="31">
      <c r="B31" s="79" t="n"/>
      <c r="C31" s="79" t="n"/>
      <c r="D31" s="79" t="n"/>
      <c r="E31" s="79" t="n"/>
      <c r="F31" s="79" t="inlineStr">
        <is>
          <t>1인당 마진</t>
        </is>
      </c>
      <c r="G31" s="78" t="inlineStr">
        <is>
          <t>(변동비 계산용)</t>
        </is>
      </c>
    </row>
    <row r="32">
      <c r="B32" s="80" t="n"/>
      <c r="C32" s="81" t="n"/>
      <c r="D32" s="82" t="n"/>
      <c r="E32" s="83" t="n"/>
      <c r="F32" s="82">
        <f>D32/1</f>
        <v/>
      </c>
      <c r="G32" s="84">
        <f>($D$15-$D$14)+$D$14*1</f>
        <v/>
      </c>
    </row>
    <row r="33">
      <c r="B33" s="80" t="n"/>
      <c r="C33" s="81" t="n"/>
      <c r="D33" s="82" t="n"/>
      <c r="E33" s="83" t="n"/>
      <c r="F33" s="82">
        <f>D33/2</f>
        <v/>
      </c>
      <c r="G33" s="84">
        <f>($D$15-$D$14)+$D$14*2</f>
        <v/>
      </c>
    </row>
    <row r="34">
      <c r="B34" s="80" t="n"/>
      <c r="C34" s="81" t="n"/>
      <c r="D34" s="82" t="n"/>
      <c r="E34" s="83" t="n"/>
      <c r="F34" s="82">
        <f>D34/3</f>
        <v/>
      </c>
      <c r="G34" s="84">
        <f>($D$15-$D$14)+$D$14*3</f>
        <v/>
      </c>
    </row>
    <row r="35">
      <c r="B35" s="80" t="n"/>
      <c r="C35" s="81" t="n"/>
      <c r="D35" s="82" t="n"/>
      <c r="E35" s="83" t="n"/>
      <c r="F35" s="82">
        <f>D35/4</f>
        <v/>
      </c>
      <c r="G35" s="84">
        <f>($D$15-$D$14)+$D$14*4</f>
        <v/>
      </c>
    </row>
    <row r="36">
      <c r="B36" s="80" t="n"/>
      <c r="C36" s="81" t="n"/>
      <c r="D36" s="82" t="n"/>
      <c r="E36" s="83" t="n"/>
      <c r="F36" s="82">
        <f>D36/5</f>
        <v/>
      </c>
      <c r="G36" s="84">
        <f>($D$15-$D$14)+$D$14*5</f>
        <v/>
      </c>
    </row>
    <row r="37"/>
    <row r="38">
      <c r="B38" s="78" t="n"/>
    </row>
    <row r="39">
      <c r="B39" s="78" t="n"/>
    </row>
    <row r="40">
      <c r="B40" s="7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30" customWidth="1" style="46" min="2" max="2"/>
    <col width="16" customWidth="1" style="46" min="3" max="5"/>
    <col width="30" customWidth="1" style="46" min="6" max="6"/>
  </cols>
  <sheetData>
    <row r="1" ht="21" customHeight="1" s="47">
      <c r="B1" s="48" t="inlineStr">
        <is>
          <t>3. 할인 시나리오별 마진</t>
        </is>
      </c>
    </row>
    <row r="2" ht="15" customHeight="1" s="47">
      <c r="B2" s="53" t="inlineStr">
        <is>
          <t>정가 마진에서 채널 수수료·할인을 뺐을 때 남는 마진. 최악 조합에서도 플러스인지 확인.</t>
        </is>
      </c>
    </row>
    <row r="4" ht="15" customHeight="1" s="47">
      <c r="B4" s="68" t="inlineStr">
        <is>
          <t>시나리오</t>
        </is>
      </c>
      <c r="C4" s="69" t="inlineStr">
        <is>
          <t>Gold</t>
        </is>
      </c>
      <c r="D4" s="69" t="inlineStr">
        <is>
          <t>Diamond</t>
        </is>
      </c>
      <c r="E4" s="69" t="inlineStr">
        <is>
          <t>Premium</t>
        </is>
      </c>
    </row>
    <row r="5" ht="15" customHeight="1" s="47">
      <c r="B5" s="59" t="inlineStr">
        <is>
          <t>① 자체채널 정가</t>
        </is>
      </c>
      <c r="C5" s="70">
        <f>'2.단위마진'!$C$17</f>
        <v/>
      </c>
      <c r="D5" s="70">
        <f>'2.단위마진'!$D$17</f>
        <v/>
      </c>
      <c r="E5" s="70">
        <f>'2.단위마진'!$E$17</f>
        <v/>
      </c>
      <c r="F5" s="60" t="inlineStr">
        <is>
          <t>할인·OTA 없음 (시트2와 동일)</t>
        </is>
      </c>
    </row>
    <row r="6" ht="16.5" customHeight="1" s="47">
      <c r="B6" s="59" t="inlineStr">
        <is>
          <t>② 친구초대 10% (상한 5만)</t>
        </is>
      </c>
      <c r="C6" s="70">
        <f>'2.단위마진'!$C$17</f>
        <v/>
      </c>
      <c r="D6" s="70">
        <f>'2.단위마진'!$D$17-MIN('1.입력값'!$C$7*'1.입력값'!$C$30,'1.입력값'!$C$31)</f>
        <v/>
      </c>
      <c r="E6" s="70">
        <f>'2.단위마진'!$E$17-MIN('1.입력값'!$C$8*'1.입력값'!$C$30,'1.입력값'!$C$31)</f>
        <v/>
      </c>
      <c r="F6" s="58" t="inlineStr">
        <is>
          <t>Gold 미적용(PRD). Dia·Prem만 할인</t>
        </is>
      </c>
    </row>
    <row r="7" ht="16.5" customHeight="1" s="47">
      <c r="B7" s="59" t="inlineStr">
        <is>
          <t>③ 프로모션 10%</t>
        </is>
      </c>
      <c r="C7" s="70">
        <f>'2.단위마진'!$C$17-'1.입력값'!$C$6*'1.입력값'!$C$32</f>
        <v/>
      </c>
      <c r="D7" s="70">
        <f>'2.단위마진'!$D$17-'1.입력값'!$C$7*'1.입력값'!$C$32</f>
        <v/>
      </c>
      <c r="E7" s="70">
        <f>'2.단위마진'!$E$17-'1.입력값'!$C$8*'1.입력값'!$C$32</f>
        <v/>
      </c>
      <c r="F7" s="60" t="inlineStr">
        <is>
          <t>전 패키지 적용 가능</t>
        </is>
      </c>
    </row>
    <row r="8" ht="16.5" customHeight="1" s="47">
      <c r="B8" s="56" t="inlineStr">
        <is>
          <t>④ KLOOK 채널 판매</t>
        </is>
      </c>
      <c r="C8" s="70">
        <f>'2.단위마진'!$C$17-'1.입력값'!$C$6*'1.입력값'!$C$33</f>
        <v/>
      </c>
      <c r="D8" s="70">
        <f>'2.단위마진'!$D$17-'1.입력값'!$C$7*'1.입력값'!$C$33</f>
        <v/>
      </c>
      <c r="E8" s="70">
        <f>'2.단위마진'!$E$17-'1.입력값'!$C$8*'1.입력값'!$C$33</f>
        <v/>
      </c>
      <c r="F8" s="58" t="inlineStr">
        <is>
          <t>OTA 수수료만큼 마진 차감</t>
        </is>
      </c>
    </row>
    <row r="9" ht="16.5" customHeight="1" s="47">
      <c r="B9" s="56" t="inlineStr">
        <is>
          <t>⑤ KKday 채널 판매</t>
        </is>
      </c>
      <c r="C9" s="70">
        <f>'2.단위마진'!$C$17-'1.입력값'!$C$6*'1.입력값'!$C$34</f>
        <v/>
      </c>
      <c r="D9" s="70">
        <f>'2.단위마진'!$D$17-'1.입력값'!$C$7*'1.입력값'!$C$34</f>
        <v/>
      </c>
      <c r="E9" s="70">
        <f>'2.단위마진'!$E$17-'1.입력값'!$C$8*'1.입력값'!$C$34</f>
        <v/>
      </c>
      <c r="F9" s="58" t="inlineStr">
        <is>
          <t>OTA 수수료만큼 마진 차감</t>
        </is>
      </c>
    </row>
    <row r="10" ht="16.5" customHeight="1" s="47">
      <c r="B10" s="59" t="inlineStr">
        <is>
          <t>⑥ 최악: KLOOK + 프로모션</t>
        </is>
      </c>
      <c r="C10" s="70">
        <f>'2.단위마진'!$C$17-'1.입력값'!$C$6*'1.입력값'!$C$33-'1.입력값'!$C$6*'1.입력값'!$C$32</f>
        <v/>
      </c>
      <c r="D10" s="70">
        <f>'2.단위마진'!$D$17-'1.입력값'!$C$7*'1.입력값'!$C$33-'1.입력값'!$C$7*'1.입력값'!$C$32</f>
        <v/>
      </c>
      <c r="E10" s="70">
        <f>'2.단위마진'!$E$17-'1.입력값'!$C$8*'1.입력값'!$C$33-'1.입력값'!$C$8*'1.입력값'!$C$32</f>
        <v/>
      </c>
      <c r="F10" s="60" t="inlineStr">
        <is>
          <t>채널 수수료 + 할인 동시</t>
        </is>
      </c>
    </row>
    <row r="12" ht="15" customHeight="1" s="47">
      <c r="B12" s="53" t="inlineStr">
        <is>
          <t>※ 음수(괄호 표시)가 나오는 칸 = 그 조합으로 팔면 손해. 특히 ⑥ 최악 시나리오를 주시.</t>
        </is>
      </c>
    </row>
    <row r="13" ht="15" customHeight="1" s="47">
      <c r="B13" s="49" t="inlineStr">
        <is>
          <t>※ Gold·1Hour·1Pro는 친구초대 제외(PRD). 대여·단체는 별도 모델 필요 시 확장.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34" customWidth="1" style="46" min="2" max="2"/>
    <col width="18" customWidth="1" style="46" min="3" max="3"/>
    <col width="16" customWidth="1" style="46" min="4" max="4"/>
    <col width="30" customWidth="1" style="46" min="5" max="5"/>
  </cols>
  <sheetData>
    <row r="1" ht="21" customHeight="1" s="47">
      <c r="B1" s="48" t="inlineStr">
        <is>
          <t>4. 손익분기점 (Break-even)</t>
        </is>
      </c>
    </row>
    <row r="2" ht="15" customHeight="1" s="47">
      <c r="B2" s="53" t="inlineStr">
        <is>
          <t>월 고정비를 덮으려면 월 몇 건을 팔아야 하는가. 패키지 믹스 가정에 따라 달라진다.</t>
        </is>
      </c>
    </row>
    <row r="4" ht="15" customHeight="1" s="47">
      <c r="B4" s="63" t="inlineStr">
        <is>
          <t>월 고정비 합계</t>
        </is>
      </c>
      <c r="C4" s="70">
        <f>'1.입력값'!$C$41</f>
        <v/>
      </c>
      <c r="E4" s="53" t="inlineStr">
        <is>
          <t>입력값 시트 1-E 합계</t>
        </is>
      </c>
    </row>
    <row r="6" ht="16.5" customHeight="1" s="47">
      <c r="B6" s="52" t="inlineStr">
        <is>
          <t>[가정 A] Diamond만 판매할 경우</t>
        </is>
      </c>
    </row>
    <row r="7" ht="15" customHeight="1" s="47">
      <c r="B7" s="54" t="inlineStr">
        <is>
          <t>항목</t>
        </is>
      </c>
      <c r="C7" s="54" t="inlineStr">
        <is>
          <t>값</t>
        </is>
      </c>
    </row>
    <row r="8" ht="16.5" customHeight="1" s="47">
      <c r="B8" s="56" t="inlineStr">
        <is>
          <t>Diamond 단위 마진 (정가)</t>
        </is>
      </c>
      <c r="C8" s="70">
        <f>'2.단위마진'!$D$17</f>
        <v/>
      </c>
    </row>
    <row r="9" ht="16.5" customHeight="1" s="47">
      <c r="B9" s="63" t="inlineStr">
        <is>
          <t>손익분기 월 판매 건수</t>
        </is>
      </c>
      <c r="C9" s="85">
        <f>IF(C8&lt;=0,"마진≤0",ROUNDUP(C4/C8,0))</f>
        <v/>
      </c>
      <c r="E9" s="53" t="inlineStr">
        <is>
          <t>이 건수 이상 팔아야 흑자</t>
        </is>
      </c>
    </row>
    <row r="11" ht="16.5" customHeight="1" s="47">
      <c r="B11" s="52" t="inlineStr">
        <is>
          <t>[가정 B] 패키지 믹스 (월 판매 건수를 직접 입력)</t>
        </is>
      </c>
    </row>
    <row r="12" ht="16.5" customHeight="1" s="47">
      <c r="B12" s="54" t="inlineStr">
        <is>
          <t>패키지</t>
        </is>
      </c>
      <c r="C12" s="54" t="inlineStr">
        <is>
          <t>월 판매 건수(입력)</t>
        </is>
      </c>
      <c r="D12" s="54" t="inlineStr">
        <is>
          <t>월 기여 마진</t>
        </is>
      </c>
    </row>
    <row r="13" ht="15" customHeight="1" s="47">
      <c r="B13" s="56" t="inlineStr">
        <is>
          <t>Gold</t>
        </is>
      </c>
      <c r="C13" s="86" t="n">
        <v>0</v>
      </c>
      <c r="D13" s="70">
        <f>C13*'2.단위마진'!$C$17</f>
        <v/>
      </c>
    </row>
    <row r="14" ht="15" customHeight="1" s="47">
      <c r="B14" s="56" t="inlineStr">
        <is>
          <t>Diamond</t>
        </is>
      </c>
      <c r="C14" s="86" t="n">
        <v>0</v>
      </c>
      <c r="D14" s="70">
        <f>C14*'2.단위마진'!$D$17</f>
        <v/>
      </c>
    </row>
    <row r="15" ht="15" customHeight="1" s="47">
      <c r="B15" s="56" t="inlineStr">
        <is>
          <t>Premium</t>
        </is>
      </c>
      <c r="C15" s="86" t="n">
        <v>0</v>
      </c>
      <c r="D15" s="70">
        <f>C15*'2.단위마진'!$E$17</f>
        <v/>
      </c>
    </row>
    <row r="16" ht="15" customHeight="1" s="47">
      <c r="B16" s="63" t="inlineStr">
        <is>
          <t>월 기여 마진 합계</t>
        </is>
      </c>
      <c r="D16" s="72">
        <f>SUM(D13:D15)</f>
        <v/>
      </c>
    </row>
    <row r="17" ht="16.5" customHeight="1" s="47">
      <c r="B17" s="63" t="inlineStr">
        <is>
          <t>월 손익 (기여마진 − 고정비)</t>
        </is>
      </c>
      <c r="D17" s="74">
        <f>D16-C4</f>
        <v/>
      </c>
    </row>
    <row r="18" ht="15" customHeight="1" s="47">
      <c r="B18" s="63" t="inlineStr">
        <is>
          <t>판정</t>
        </is>
      </c>
      <c r="D18" s="63">
        <f>IF(D17&gt;0,"흑자",IF(D17=0,"손익분기","적자"))</f>
        <v/>
      </c>
    </row>
    <row r="20" ht="15" customHeight="1" s="47">
      <c r="B20" s="53" t="inlineStr">
        <is>
          <t>※ 가정 B의 노란 칸에 월 예상 판매 건수를 넣으면 월 손익이 자동 계산된다.</t>
        </is>
      </c>
    </row>
    <row r="21" ht="15" customHeight="1" s="47">
      <c r="B21" s="53" t="inlineStr">
        <is>
          <t>※ 모든 마진은 정가 기준. 할인·OTA 비중이 크면 시트3 값으로 별도 시나리오를 짜야 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6" min="1" max="1"/>
    <col width="28" customWidth="1" style="46" min="2" max="2"/>
    <col width="15" customWidth="1" style="46" min="3" max="6"/>
    <col width="30" customWidth="1" style="46" min="7" max="7"/>
  </cols>
  <sheetData>
    <row r="1" ht="21.6" customHeight="1" s="47">
      <c r="B1" s="48" t="inlineStr">
        <is>
          <t>5. 단체 패키지 마진 (인원당 정액 × 인원)</t>
        </is>
      </c>
    </row>
    <row r="2" ht="15" customHeight="1" s="47">
      <c r="B2" s="87" t="inlineStr">
        <is>
          <t>매출=인원×정액. 인건비는 회당 고정이라 인원 많을수록 마진율↑. 최소/최대 인원 시나리오.</t>
        </is>
      </c>
    </row>
    <row r="4" ht="17.15" customHeight="1" s="47">
      <c r="B4" s="88" t="inlineStr">
        <is>
          <t>■ 꿈길  (1인당 정액, 국내·통역 제외)</t>
        </is>
      </c>
    </row>
    <row r="5" ht="17.15" customHeight="1" s="47">
      <c r="B5" s="89" t="inlineStr">
        <is>
          <t>항목</t>
        </is>
      </c>
      <c r="C5" s="89" t="inlineStr">
        <is>
          <t>최소 10명</t>
        </is>
      </c>
      <c r="D5" s="89" t="inlineStr">
        <is>
          <t>최대 15명</t>
        </is>
      </c>
    </row>
    <row r="6" ht="17.15" customHeight="1" s="47">
      <c r="B6" s="66" t="inlineStr">
        <is>
          <t>매출 (인원 × 정액)</t>
        </is>
      </c>
      <c r="C6" s="70">
        <f>'1.입력값'!$C$12*10</f>
        <v/>
      </c>
      <c r="D6" s="70">
        <f>'1.입력값'!$C$12*15</f>
        <v/>
      </c>
    </row>
    <row r="7" ht="17.15" customHeight="1" s="47">
      <c r="B7" s="66" t="inlineStr">
        <is>
          <t>인건비 (회당 고정)</t>
        </is>
      </c>
      <c r="C7" s="70">
        <f>-('1.입력값'!$C$44+'1.입력값'!$C$45)</f>
        <v/>
      </c>
      <c r="D7" s="70">
        <f>-('1.입력값'!$C$44+'1.입력값'!$C$45)</f>
        <v/>
      </c>
    </row>
    <row r="8" ht="17.15" customHeight="1" s="47">
      <c r="B8" s="66" t="inlineStr">
        <is>
          <t>소모품 (인원당)</t>
        </is>
      </c>
      <c r="C8" s="70">
        <f>-'1.입력값'!$C$47*10</f>
        <v/>
      </c>
      <c r="D8" s="70">
        <f>-'1.입력값'!$C$47*15</f>
        <v/>
      </c>
    </row>
    <row r="9" ht="15" customHeight="1" s="47">
      <c r="B9" s="66" t="inlineStr">
        <is>
          <t>결제수수료</t>
        </is>
      </c>
      <c r="C9" s="70">
        <f>-'1.입력값'!$C$12*10*'1.입력값'!$C$48</f>
        <v/>
      </c>
      <c r="D9" s="70">
        <f>-'1.입력값'!$C$12*15*'1.입력값'!$C$48</f>
        <v/>
      </c>
    </row>
    <row r="10" ht="17.15" customHeight="1" s="47">
      <c r="B10" s="90" t="inlineStr">
        <is>
          <t>세션 마진 (총액)</t>
        </is>
      </c>
      <c r="C10" s="74">
        <f>C6+C7+C8+C9</f>
        <v/>
      </c>
      <c r="D10" s="74">
        <f>D6+D7+D8+D9</f>
        <v/>
      </c>
    </row>
    <row r="11" ht="15" customHeight="1" s="47">
      <c r="B11" s="66" t="inlineStr">
        <is>
          <t>마진율</t>
        </is>
      </c>
      <c r="C11" s="75">
        <f>IF(C6=0,0,C10/C6)</f>
        <v/>
      </c>
      <c r="D11" s="75">
        <f>IF(D6=0,0,D10/D6)</f>
        <v/>
      </c>
    </row>
    <row r="12" ht="17.15" customHeight="1" s="47">
      <c r="B12" s="56" t="inlineStr">
        <is>
          <t>1인당 마진</t>
        </is>
      </c>
      <c r="C12" s="71">
        <f>C10/10</f>
        <v/>
      </c>
      <c r="D12" s="71">
        <f>D10/15</f>
        <v/>
      </c>
    </row>
    <row r="14" ht="17.15" customHeight="1" s="47">
      <c r="B14" s="88" t="inlineStr">
        <is>
          <t>■ 워크샵  (1인당 정액, 국내·통역 제외)</t>
        </is>
      </c>
    </row>
    <row r="15" ht="17.15" customHeight="1" s="47">
      <c r="B15" s="89" t="inlineStr">
        <is>
          <t>항목</t>
        </is>
      </c>
      <c r="C15" s="89" t="inlineStr">
        <is>
          <t>최소 5명</t>
        </is>
      </c>
      <c r="D15" s="89" t="inlineStr">
        <is>
          <t>최대 15명</t>
        </is>
      </c>
    </row>
    <row r="16" ht="17.15" customHeight="1" s="47">
      <c r="B16" s="66" t="inlineStr">
        <is>
          <t>매출 (인원 × 정액)</t>
        </is>
      </c>
      <c r="C16" s="70">
        <f>'1.입력값'!$C$13*5</f>
        <v/>
      </c>
      <c r="D16" s="70">
        <f>'1.입력값'!$C$13*15</f>
        <v/>
      </c>
    </row>
    <row r="17" ht="17.15" customHeight="1" s="47">
      <c r="B17" s="66" t="inlineStr">
        <is>
          <t>인건비 (회당 고정)</t>
        </is>
      </c>
      <c r="C17" s="70">
        <f>-('1.입력값'!$C$44+'1.입력값'!$C$45)</f>
        <v/>
      </c>
      <c r="D17" s="70">
        <f>-('1.입력값'!$C$44+'1.입력값'!$C$45)</f>
        <v/>
      </c>
    </row>
    <row r="18" ht="17.15" customHeight="1" s="47">
      <c r="B18" s="66" t="inlineStr">
        <is>
          <t>소모품 (인원당)</t>
        </is>
      </c>
      <c r="C18" s="70">
        <f>-'1.입력값'!$C$47*5</f>
        <v/>
      </c>
      <c r="D18" s="70">
        <f>-'1.입력값'!$C$47*15</f>
        <v/>
      </c>
    </row>
    <row r="19" ht="15" customHeight="1" s="47">
      <c r="B19" s="66" t="inlineStr">
        <is>
          <t>결제수수료</t>
        </is>
      </c>
      <c r="C19" s="70">
        <f>-'1.입력값'!$C$13*5*'1.입력값'!$C$48</f>
        <v/>
      </c>
      <c r="D19" s="70">
        <f>-'1.입력값'!$C$13*15*'1.입력값'!$C$48</f>
        <v/>
      </c>
    </row>
    <row r="20" ht="17.15" customHeight="1" s="47">
      <c r="B20" s="90" t="inlineStr">
        <is>
          <t>세션 마진 (총액)</t>
        </is>
      </c>
      <c r="C20" s="74">
        <f>C16+C17+C18+C19</f>
        <v/>
      </c>
      <c r="D20" s="74">
        <f>D16+D17+D18+D19</f>
        <v/>
      </c>
    </row>
    <row r="21" ht="15" customHeight="1" s="47">
      <c r="B21" s="66" t="inlineStr">
        <is>
          <t>마진율</t>
        </is>
      </c>
      <c r="C21" s="75">
        <f>IF(C16=0,0,C20/C16)</f>
        <v/>
      </c>
      <c r="D21" s="75">
        <f>IF(D16=0,0,D20/D16)</f>
        <v/>
      </c>
    </row>
    <row r="22" ht="17.15" customHeight="1" s="47">
      <c r="B22" s="56" t="inlineStr">
        <is>
          <t>1인당 마진</t>
        </is>
      </c>
      <c r="C22" s="71">
        <f>C20/5</f>
        <v/>
      </c>
      <c r="D22" s="71">
        <f>D20/15</f>
        <v/>
      </c>
    </row>
    <row r="24" ht="17.15" customHeight="1" s="47">
      <c r="B24" s="55" t="inlineStr">
        <is>
          <t>■ K-Pop Making Class  (1인당 정액, 다국어·통역 포함)</t>
        </is>
      </c>
    </row>
    <row r="25" ht="17.15" customHeight="1" s="47">
      <c r="B25" s="89" t="inlineStr">
        <is>
          <t>항목</t>
        </is>
      </c>
      <c r="C25" s="89" t="inlineStr">
        <is>
          <t>최소 3명</t>
        </is>
      </c>
      <c r="D25" s="89" t="inlineStr">
        <is>
          <t>최대 15명</t>
        </is>
      </c>
    </row>
    <row r="26" ht="17.15" customHeight="1" s="47">
      <c r="B26" s="66" t="inlineStr">
        <is>
          <t>매출 (인원 × 정액)</t>
        </is>
      </c>
      <c r="C26" s="70">
        <f>'1.입력값'!$C$11*3</f>
        <v/>
      </c>
      <c r="D26" s="70">
        <f>'1.입력값'!$C$11*15</f>
        <v/>
      </c>
    </row>
    <row r="27" ht="17.15" customHeight="1" s="47">
      <c r="B27" s="66" t="inlineStr">
        <is>
          <t>인건비 (회당 고정)</t>
        </is>
      </c>
      <c r="C27" s="70">
        <f>-('1.입력값'!$C$44+'1.입력값'!$C$45+'1.입력값'!$C$46)</f>
        <v/>
      </c>
      <c r="D27" s="70">
        <f>-('1.입력값'!$C$44+'1.입력값'!$C$45+'1.입력값'!$C$46)</f>
        <v/>
      </c>
    </row>
    <row r="28" ht="17.15" customHeight="1" s="47">
      <c r="B28" s="66" t="inlineStr">
        <is>
          <t>소모품 (인원당)</t>
        </is>
      </c>
      <c r="C28" s="70">
        <f>-'1.입력값'!$C$47*3</f>
        <v/>
      </c>
      <c r="D28" s="70">
        <f>-'1.입력값'!$C$47*15</f>
        <v/>
      </c>
    </row>
    <row r="29" ht="15" customHeight="1" s="47">
      <c r="B29" s="66" t="inlineStr">
        <is>
          <t>결제수수료</t>
        </is>
      </c>
      <c r="C29" s="70">
        <f>-('1.입력값'!$C$11*3*'1.입력값'!$C$27+'1.입력값'!$C$28)</f>
        <v/>
      </c>
      <c r="D29" s="70">
        <f>-('1.입력값'!$C$11*15*'1.입력값'!$C$27+'1.입력값'!$C$28)</f>
        <v/>
      </c>
    </row>
    <row r="30" ht="17.15" customHeight="1" s="47">
      <c r="B30" s="90" t="inlineStr">
        <is>
          <t>세션 마진 (총액)</t>
        </is>
      </c>
      <c r="C30" s="74">
        <f>C26+C27+C28+C29</f>
        <v/>
      </c>
      <c r="D30" s="74">
        <f>D26+D27+D28+D29</f>
        <v/>
      </c>
    </row>
    <row r="31" ht="15" customHeight="1" s="47">
      <c r="B31" s="66" t="inlineStr">
        <is>
          <t>마진율</t>
        </is>
      </c>
      <c r="C31" s="75">
        <f>IF(C26=0,0,C30/C26)</f>
        <v/>
      </c>
      <c r="D31" s="75">
        <f>IF(D26=0,0,D30/D26)</f>
        <v/>
      </c>
    </row>
    <row r="32" ht="17.15" customHeight="1" s="47">
      <c r="B32" s="56" t="inlineStr">
        <is>
          <t>1인당 마진</t>
        </is>
      </c>
      <c r="C32" s="71">
        <f>C30/3</f>
        <v/>
      </c>
      <c r="D32" s="71">
        <f>D30/15</f>
        <v/>
      </c>
    </row>
    <row r="34" ht="15" customHeight="1" s="47">
      <c r="B34" s="87" t="inlineStr">
        <is>
          <t>※ 매출=인원×정액, 인건비는 회당 고정. 그래서 최대 인원일 때 마진율이 가장 높다.</t>
        </is>
      </c>
    </row>
    <row r="35" ht="15" customHeight="1" s="47">
      <c r="B35" s="87" t="inlineStr">
        <is>
          <t>※ 국내 단체(꿈길·워크샵)는 B2B 계좌이체(수수료≈0) 가정. Making Class는 PayPal 가정.</t>
        </is>
      </c>
    </row>
    <row r="36" ht="15" customHeight="1" s="47">
      <c r="B36" s="87" t="inlineStr">
        <is>
          <t>※ 노출: 국내 사이트=꿈길·워크샵 / 다국어 사이트=Making Class (PRD 5.4).</t>
        </is>
      </c>
    </row>
  </sheetData>
  <mergeCells count="3">
    <mergeCell ref="B24:E24"/>
    <mergeCell ref="B14:E14"/>
    <mergeCell ref="B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2026-06-15T03:27:14Z</dcterms:created>
  <dcterms:modified xmlns:dcterms="http://purl.org/dc/terms/" xmlns:xsi="http://www.w3.org/2001/XMLSchema-instance" xsi:type="dcterms:W3CDTF">2026-06-30T02:01:13Z</dcterms:modified>
  <cp:revision>0</cp:revision>
</cp:coreProperties>
</file>